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8F0B829-9726-4F77-AE4B-5D7AD20FAE25}" xr6:coauthVersionLast="47" xr6:coauthVersionMax="47" xr10:uidLastSave="{00000000-0000-0000-0000-000000000000}"/>
  <bookViews>
    <workbookView xWindow="-110" yWindow="-110" windowWidth="19420" windowHeight="10300" activeTab="2" xr2:uid="{1E5ED3D7-9DEE-4F16-BF18-C8A487AE8473}"/>
  </bookViews>
  <sheets>
    <sheet name="Student_data" sheetId="1" r:id="rId1"/>
    <sheet name="Sales_data" sheetId="2" r:id="rId2"/>
    <sheet name="Employee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" i="1" l="1" a="1"/>
  <c r="K13" i="1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H6" i="3"/>
  <c r="J6" i="2"/>
  <c r="K5" i="1"/>
  <c r="H5" i="1"/>
  <c r="H13" i="1"/>
  <c r="H18" i="1"/>
  <c r="H21" i="1"/>
  <c r="G3" i="1"/>
  <c r="H3" i="1" s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G14" i="1"/>
  <c r="H14" i="1" s="1"/>
  <c r="G15" i="1"/>
  <c r="H15" i="1" s="1"/>
  <c r="G16" i="1"/>
  <c r="H16" i="1" s="1"/>
  <c r="G17" i="1"/>
  <c r="H17" i="1" s="1"/>
  <c r="G18" i="1"/>
  <c r="G19" i="1"/>
  <c r="H19" i="1" s="1"/>
  <c r="G20" i="1"/>
  <c r="H20" i="1" s="1"/>
  <c r="G21" i="1"/>
  <c r="G2" i="1"/>
  <c r="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<sst xmlns="http://schemas.openxmlformats.org/spreadsheetml/2006/main" count="148" uniqueCount="71">
  <si>
    <t>Student ID</t>
  </si>
  <si>
    <t>Name</t>
  </si>
  <si>
    <t>Math</t>
  </si>
  <si>
    <t>Science</t>
  </si>
  <si>
    <t>English</t>
  </si>
  <si>
    <t>Enrollment Date</t>
  </si>
  <si>
    <t>Aarav Patel</t>
  </si>
  <si>
    <t>Diya Shah</t>
  </si>
  <si>
    <t>Rohan Mehta</t>
  </si>
  <si>
    <t>Isha Desai</t>
  </si>
  <si>
    <t>Krish Patel</t>
  </si>
  <si>
    <t>Anaya Joshi</t>
  </si>
  <si>
    <t>Vivaan Shah</t>
  </si>
  <si>
    <t>Meera Trivedi</t>
  </si>
  <si>
    <t>Arjun Patel</t>
  </si>
  <si>
    <t>Kavya Mehta</t>
  </si>
  <si>
    <t>Yash Shah</t>
  </si>
  <si>
    <t>Riya Desai</t>
  </si>
  <si>
    <t>Dhruv Joshi</t>
  </si>
  <si>
    <t>Pooja Patel</t>
  </si>
  <si>
    <t>Kunal Shah</t>
  </si>
  <si>
    <t>Sneha Mehta</t>
  </si>
  <si>
    <t>Raj Patel</t>
  </si>
  <si>
    <t>Nisha Desai</t>
  </si>
  <si>
    <t>Manav Joshi</t>
  </si>
  <si>
    <t>Tisha Shah</t>
  </si>
  <si>
    <t>avg</t>
  </si>
  <si>
    <t>Grade</t>
  </si>
  <si>
    <t>Those Student Above 60</t>
  </si>
  <si>
    <t>Sales ID</t>
  </si>
  <si>
    <t>Product</t>
  </si>
  <si>
    <t>Region</t>
  </si>
  <si>
    <t>Salesperson</t>
  </si>
  <si>
    <t>Amount</t>
  </si>
  <si>
    <t>Date</t>
  </si>
  <si>
    <t>Laptop</t>
  </si>
  <si>
    <t>North</t>
  </si>
  <si>
    <t>Rahul Sharma</t>
  </si>
  <si>
    <t>Mobile</t>
  </si>
  <si>
    <t>West</t>
  </si>
  <si>
    <t>Priya Patel</t>
  </si>
  <si>
    <t>Tablet</t>
  </si>
  <si>
    <t>South</t>
  </si>
  <si>
    <t>Arjun Mehta</t>
  </si>
  <si>
    <t>Headphones</t>
  </si>
  <si>
    <t>East</t>
  </si>
  <si>
    <t>Sneha Shah</t>
  </si>
  <si>
    <t>Smartwatch</t>
  </si>
  <si>
    <t>Kunal Joshi</t>
  </si>
  <si>
    <t>Neha Desai</t>
  </si>
  <si>
    <t>Rohan Patel</t>
  </si>
  <si>
    <t>Pooja Mehta</t>
  </si>
  <si>
    <t>Kavya Patel</t>
  </si>
  <si>
    <t>Raj Shah</t>
  </si>
  <si>
    <t>Manav Mehta</t>
  </si>
  <si>
    <t>Isha Patel</t>
  </si>
  <si>
    <t>Aarav Joshi</t>
  </si>
  <si>
    <t>Riya Mehta</t>
  </si>
  <si>
    <t>Use VLOOKUP to find a product price from sales data.</t>
  </si>
  <si>
    <t>Employee ID</t>
  </si>
  <si>
    <t>Department</t>
  </si>
  <si>
    <t>Salary</t>
  </si>
  <si>
    <t>Joining Date</t>
  </si>
  <si>
    <t>IT</t>
  </si>
  <si>
    <t>HR</t>
  </si>
  <si>
    <t>Finance</t>
  </si>
  <si>
    <t>Marketing</t>
  </si>
  <si>
    <t>Emp ID</t>
  </si>
  <si>
    <t>Apply XLOOKUP to fetch employee salaries dynamically.</t>
  </si>
  <si>
    <t>Year</t>
  </si>
  <si>
    <t>FILTER function to extract students with grades above 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</si>
</sst>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3" fillId="4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0" fontId="2" fillId="6" borderId="1" xfId="0" applyFont="1" applyFill="1" applyBorder="1"/>
    <xf numFmtId="0" fontId="2" fillId="7" borderId="1" xfId="0" applyFont="1" applyFill="1" applyBorder="1"/>
    <xf numFmtId="0" fontId="2" fillId="6" borderId="4" xfId="0" applyFont="1" applyFill="1" applyBorder="1"/>
    <xf numFmtId="0" fontId="2" fillId="7" borderId="4" xfId="0" applyFont="1" applyFill="1" applyBorder="1"/>
    <xf numFmtId="0" fontId="3" fillId="3" borderId="3" xfId="0" applyFont="1" applyFill="1" applyBorder="1" applyAlignment="1">
      <alignment horizontal="center"/>
    </xf>
    <xf numFmtId="14" fontId="3" fillId="3" borderId="3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10" borderId="1" xfId="0" applyFont="1" applyFill="1" applyBorder="1"/>
    <xf numFmtId="0" fontId="3" fillId="10" borderId="4" xfId="0" applyFont="1" applyFill="1" applyBorder="1"/>
    <xf numFmtId="0" fontId="1" fillId="9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9" borderId="6" xfId="0" applyFont="1" applyFill="1" applyBorder="1"/>
    <xf numFmtId="0" fontId="3" fillId="9" borderId="7" xfId="0" applyFont="1" applyFill="1" applyBorder="1"/>
    <xf numFmtId="0" fontId="1" fillId="9" borderId="7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8" xfId="0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/>
    </xf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0A62-A87F-47A3-A4A9-2B39AE1E48A8}">
  <dimension ref="A1:Q21"/>
  <sheetViews>
    <sheetView zoomScale="90" workbookViewId="0">
      <selection activeCell="O22" sqref="O22"/>
    </sheetView>
  </sheetViews>
  <sheetFormatPr defaultRowHeight="14.5" x14ac:dyDescent="0.35"/>
  <cols>
    <col min="1" max="1" width="10.81640625" bestFit="1" customWidth="1"/>
    <col min="2" max="2" width="12.6328125" bestFit="1" customWidth="1"/>
    <col min="3" max="3" width="5.90625" bestFit="1" customWidth="1"/>
    <col min="4" max="4" width="7.6328125" bestFit="1" customWidth="1"/>
    <col min="5" max="5" width="7.36328125" bestFit="1" customWidth="1"/>
    <col min="6" max="6" width="16.26953125" bestFit="1" customWidth="1"/>
    <col min="11" max="11" width="27.08984375" bestFit="1" customWidth="1"/>
  </cols>
  <sheetData>
    <row r="1" spans="1:17" ht="15.5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26</v>
      </c>
      <c r="H1" s="14" t="s">
        <v>27</v>
      </c>
    </row>
    <row r="2" spans="1:17" x14ac:dyDescent="0.35">
      <c r="A2" s="15">
        <v>1001</v>
      </c>
      <c r="B2" s="15" t="s">
        <v>6</v>
      </c>
      <c r="C2" s="15">
        <v>61</v>
      </c>
      <c r="D2" s="15">
        <v>48</v>
      </c>
      <c r="E2" s="15">
        <v>76</v>
      </c>
      <c r="F2" s="16">
        <v>45092</v>
      </c>
      <c r="G2" s="15">
        <f>AVERAGE(C2:E2)</f>
        <v>61.666666666666664</v>
      </c>
      <c r="H2" s="15" t="str">
        <f>IF(G2&gt;=90,"A+",IF(G2&gt;=80,"A",IF(G2&gt;=70,"B",IF(G2&gt;=60,"C",IF(G2&gt;=50,"D","F")))))</f>
        <v>C</v>
      </c>
    </row>
    <row r="3" spans="1:17" x14ac:dyDescent="0.35">
      <c r="A3" s="15">
        <v>1002</v>
      </c>
      <c r="B3" s="15" t="s">
        <v>7</v>
      </c>
      <c r="C3" s="15">
        <v>78</v>
      </c>
      <c r="D3" s="15">
        <v>76</v>
      </c>
      <c r="E3" s="15">
        <v>70</v>
      </c>
      <c r="F3" s="16">
        <v>45108</v>
      </c>
      <c r="G3" s="15">
        <f t="shared" ref="G3:G21" si="0">AVERAGE(C3:E3)</f>
        <v>74.666666666666671</v>
      </c>
      <c r="H3" s="15" t="str">
        <f t="shared" ref="H3:H21" si="1">IF(G3&gt;=90,"A+",IF(G3&gt;=80,"A",IF(G3&gt;=70,"B",IF(G3&gt;=60,"C",IF(G3&gt;=50,"D","F")))))</f>
        <v>B</v>
      </c>
    </row>
    <row r="4" spans="1:17" ht="15.5" x14ac:dyDescent="0.35">
      <c r="A4" s="15">
        <v>1003</v>
      </c>
      <c r="B4" s="15" t="s">
        <v>8</v>
      </c>
      <c r="C4" s="15">
        <v>97</v>
      </c>
      <c r="D4" s="15">
        <v>60</v>
      </c>
      <c r="E4" s="15">
        <v>51</v>
      </c>
      <c r="F4" s="16">
        <v>45097</v>
      </c>
      <c r="G4" s="15">
        <f t="shared" si="0"/>
        <v>69.333333333333329</v>
      </c>
      <c r="H4" s="15" t="str">
        <f t="shared" si="1"/>
        <v>C</v>
      </c>
      <c r="K4" s="4" t="s">
        <v>28</v>
      </c>
    </row>
    <row r="5" spans="1:17" ht="15.5" x14ac:dyDescent="0.35">
      <c r="A5" s="15">
        <v>1004</v>
      </c>
      <c r="B5" s="15" t="s">
        <v>9</v>
      </c>
      <c r="C5" s="15">
        <v>74</v>
      </c>
      <c r="D5" s="15">
        <v>55</v>
      </c>
      <c r="E5" s="15">
        <v>46</v>
      </c>
      <c r="F5" s="16">
        <v>45117</v>
      </c>
      <c r="G5" s="15">
        <f t="shared" si="0"/>
        <v>58.333333333333336</v>
      </c>
      <c r="H5" s="15" t="str">
        <f t="shared" si="1"/>
        <v>D</v>
      </c>
      <c r="K5" s="5">
        <f>COUNTIFS(G2:G21,"&gt;60")</f>
        <v>16</v>
      </c>
    </row>
    <row r="6" spans="1:17" x14ac:dyDescent="0.35">
      <c r="A6" s="15">
        <v>1005</v>
      </c>
      <c r="B6" s="15" t="s">
        <v>10</v>
      </c>
      <c r="C6" s="15">
        <v>68</v>
      </c>
      <c r="D6" s="15">
        <v>74</v>
      </c>
      <c r="E6" s="15">
        <v>84</v>
      </c>
      <c r="F6" s="16">
        <v>45102</v>
      </c>
      <c r="G6" s="15">
        <f t="shared" si="0"/>
        <v>75.333333333333329</v>
      </c>
      <c r="H6" s="15" t="str">
        <f t="shared" si="1"/>
        <v>B</v>
      </c>
    </row>
    <row r="7" spans="1:17" x14ac:dyDescent="0.35">
      <c r="A7" s="15">
        <v>1006</v>
      </c>
      <c r="B7" s="15" t="s">
        <v>11</v>
      </c>
      <c r="C7" s="15">
        <v>80</v>
      </c>
      <c r="D7" s="15">
        <v>70</v>
      </c>
      <c r="E7" s="15">
        <v>65</v>
      </c>
      <c r="F7" s="16">
        <v>45112</v>
      </c>
      <c r="G7" s="15">
        <f t="shared" si="0"/>
        <v>71.666666666666671</v>
      </c>
      <c r="H7" s="15" t="str">
        <f t="shared" si="1"/>
        <v>B</v>
      </c>
    </row>
    <row r="8" spans="1:17" x14ac:dyDescent="0.35">
      <c r="A8" s="15">
        <v>1007</v>
      </c>
      <c r="B8" s="15" t="s">
        <v>12</v>
      </c>
      <c r="C8" s="15">
        <v>75</v>
      </c>
      <c r="D8" s="15">
        <v>47</v>
      </c>
      <c r="E8" s="15">
        <v>78</v>
      </c>
      <c r="F8" s="16">
        <v>45095</v>
      </c>
      <c r="G8" s="15">
        <f t="shared" si="0"/>
        <v>66.666666666666671</v>
      </c>
      <c r="H8" s="15" t="str">
        <f t="shared" si="1"/>
        <v>C</v>
      </c>
    </row>
    <row r="9" spans="1:17" x14ac:dyDescent="0.35">
      <c r="A9" s="15">
        <v>1008</v>
      </c>
      <c r="B9" s="15" t="s">
        <v>13</v>
      </c>
      <c r="C9" s="15">
        <v>94</v>
      </c>
      <c r="D9" s="15">
        <v>67</v>
      </c>
      <c r="E9" s="15">
        <v>64</v>
      </c>
      <c r="F9" s="16">
        <v>45119</v>
      </c>
      <c r="G9" s="15">
        <f t="shared" si="0"/>
        <v>75</v>
      </c>
      <c r="H9" s="15" t="str">
        <f t="shared" si="1"/>
        <v>B</v>
      </c>
    </row>
    <row r="10" spans="1:17" x14ac:dyDescent="0.35">
      <c r="A10" s="15">
        <v>1009</v>
      </c>
      <c r="B10" s="15" t="s">
        <v>14</v>
      </c>
      <c r="C10" s="15">
        <v>41</v>
      </c>
      <c r="D10" s="15">
        <v>75</v>
      </c>
      <c r="E10" s="15">
        <v>56</v>
      </c>
      <c r="F10" s="16">
        <v>45099</v>
      </c>
      <c r="G10" s="15">
        <f t="shared" si="0"/>
        <v>57.333333333333336</v>
      </c>
      <c r="H10" s="15" t="str">
        <f t="shared" si="1"/>
        <v>D</v>
      </c>
    </row>
    <row r="11" spans="1:17" x14ac:dyDescent="0.35">
      <c r="A11" s="15">
        <v>1010</v>
      </c>
      <c r="B11" s="15" t="s">
        <v>15</v>
      </c>
      <c r="C11" s="15">
        <v>98</v>
      </c>
      <c r="D11" s="15">
        <v>54</v>
      </c>
      <c r="E11" s="15">
        <v>58</v>
      </c>
      <c r="F11" s="16">
        <v>45115</v>
      </c>
      <c r="G11" s="15">
        <f t="shared" si="0"/>
        <v>70</v>
      </c>
      <c r="H11" s="15" t="str">
        <f t="shared" si="1"/>
        <v>B</v>
      </c>
    </row>
    <row r="12" spans="1:17" x14ac:dyDescent="0.35">
      <c r="A12" s="15">
        <v>1011</v>
      </c>
      <c r="B12" s="15" t="s">
        <v>16</v>
      </c>
      <c r="C12" s="15">
        <v>73</v>
      </c>
      <c r="D12" s="15">
        <v>79</v>
      </c>
      <c r="E12" s="15">
        <v>53</v>
      </c>
      <c r="F12" s="16">
        <v>45107</v>
      </c>
      <c r="G12" s="15">
        <f t="shared" si="0"/>
        <v>68.333333333333329</v>
      </c>
      <c r="H12" s="15" t="str">
        <f t="shared" si="1"/>
        <v>C</v>
      </c>
      <c r="K12" s="25" t="s">
        <v>70</v>
      </c>
      <c r="L12" s="26"/>
      <c r="M12" s="26"/>
      <c r="N12" s="26"/>
      <c r="O12" s="26"/>
      <c r="P12" s="26"/>
      <c r="Q12" s="27"/>
    </row>
    <row r="13" spans="1:17" x14ac:dyDescent="0.35">
      <c r="A13" s="15">
        <v>1012</v>
      </c>
      <c r="B13" s="15" t="s">
        <v>17</v>
      </c>
      <c r="C13" s="15">
        <v>85</v>
      </c>
      <c r="D13" s="15">
        <v>89</v>
      </c>
      <c r="E13" s="15">
        <v>79</v>
      </c>
      <c r="F13" s="16">
        <v>45122</v>
      </c>
      <c r="G13" s="15">
        <f t="shared" si="0"/>
        <v>84.333333333333329</v>
      </c>
      <c r="H13" s="15" t="str">
        <f t="shared" si="1"/>
        <v>A</v>
      </c>
      <c r="K13" s="28" cm="1">
        <f t="array" ref="K13:Q14">_xlfn._xlws.FILTER(A2:G21, G2:G21&gt;80)</f>
        <v>1012</v>
      </c>
      <c r="L13" s="28" t="str">
        <v>Riya Desai</v>
      </c>
      <c r="M13" s="28">
        <v>85</v>
      </c>
      <c r="N13" s="28">
        <v>89</v>
      </c>
      <c r="O13" s="28">
        <v>79</v>
      </c>
      <c r="P13" s="28">
        <v>45122</v>
      </c>
      <c r="Q13" s="28">
        <v>84.333333333333329</v>
      </c>
    </row>
    <row r="14" spans="1:17" x14ac:dyDescent="0.35">
      <c r="A14" s="15">
        <v>1013</v>
      </c>
      <c r="B14" s="15" t="s">
        <v>18</v>
      </c>
      <c r="C14" s="15">
        <v>98</v>
      </c>
      <c r="D14" s="15">
        <v>90</v>
      </c>
      <c r="E14" s="15">
        <v>97</v>
      </c>
      <c r="F14" s="16">
        <v>45105</v>
      </c>
      <c r="G14" s="15">
        <f t="shared" si="0"/>
        <v>95</v>
      </c>
      <c r="H14" s="15" t="str">
        <f t="shared" si="1"/>
        <v>A+</v>
      </c>
      <c r="K14" s="28">
        <v>1013</v>
      </c>
      <c r="L14" s="28" t="str">
        <v>Dhruv Joshi</v>
      </c>
      <c r="M14" s="28">
        <v>98</v>
      </c>
      <c r="N14" s="28">
        <v>90</v>
      </c>
      <c r="O14" s="28">
        <v>97</v>
      </c>
      <c r="P14" s="28">
        <v>45105</v>
      </c>
      <c r="Q14" s="28">
        <v>95</v>
      </c>
    </row>
    <row r="15" spans="1:17" x14ac:dyDescent="0.35">
      <c r="A15" s="15">
        <v>1014</v>
      </c>
      <c r="B15" s="15" t="s">
        <v>19</v>
      </c>
      <c r="C15" s="15">
        <v>93</v>
      </c>
      <c r="D15" s="15">
        <v>40</v>
      </c>
      <c r="E15" s="15">
        <v>44</v>
      </c>
      <c r="F15" s="16">
        <v>45110</v>
      </c>
      <c r="G15" s="15">
        <f t="shared" si="0"/>
        <v>59</v>
      </c>
      <c r="H15" s="15" t="str">
        <f t="shared" si="1"/>
        <v>D</v>
      </c>
    </row>
    <row r="16" spans="1:17" x14ac:dyDescent="0.35">
      <c r="A16" s="15">
        <v>1015</v>
      </c>
      <c r="B16" s="15" t="s">
        <v>20</v>
      </c>
      <c r="C16" s="15">
        <v>70</v>
      </c>
      <c r="D16" s="15">
        <v>51</v>
      </c>
      <c r="E16" s="15">
        <v>75</v>
      </c>
      <c r="F16" s="16">
        <v>45096</v>
      </c>
      <c r="G16" s="15">
        <f t="shared" si="0"/>
        <v>65.333333333333329</v>
      </c>
      <c r="H16" s="15" t="str">
        <f t="shared" si="1"/>
        <v>C</v>
      </c>
    </row>
    <row r="17" spans="1:8" x14ac:dyDescent="0.35">
      <c r="A17" s="15">
        <v>1016</v>
      </c>
      <c r="B17" s="15" t="s">
        <v>21</v>
      </c>
      <c r="C17" s="15">
        <v>98</v>
      </c>
      <c r="D17" s="15">
        <v>77</v>
      </c>
      <c r="E17" s="15">
        <v>60</v>
      </c>
      <c r="F17" s="16">
        <v>45118</v>
      </c>
      <c r="G17" s="15">
        <f t="shared" si="0"/>
        <v>78.333333333333329</v>
      </c>
      <c r="H17" s="15" t="str">
        <f t="shared" si="1"/>
        <v>B</v>
      </c>
    </row>
    <row r="18" spans="1:8" x14ac:dyDescent="0.35">
      <c r="A18" s="15">
        <v>1017</v>
      </c>
      <c r="B18" s="15" t="s">
        <v>22</v>
      </c>
      <c r="C18" s="15">
        <v>66</v>
      </c>
      <c r="D18" s="15">
        <v>59</v>
      </c>
      <c r="E18" s="15">
        <v>40</v>
      </c>
      <c r="F18" s="16">
        <v>45104</v>
      </c>
      <c r="G18" s="15">
        <f t="shared" si="0"/>
        <v>55</v>
      </c>
      <c r="H18" s="15" t="str">
        <f t="shared" si="1"/>
        <v>D</v>
      </c>
    </row>
    <row r="19" spans="1:8" x14ac:dyDescent="0.35">
      <c r="A19" s="15">
        <v>1018</v>
      </c>
      <c r="B19" s="15" t="s">
        <v>23</v>
      </c>
      <c r="C19" s="15">
        <v>82</v>
      </c>
      <c r="D19" s="15">
        <v>48</v>
      </c>
      <c r="E19" s="15">
        <v>79</v>
      </c>
      <c r="F19" s="16">
        <v>45121</v>
      </c>
      <c r="G19" s="15">
        <f t="shared" si="0"/>
        <v>69.666666666666671</v>
      </c>
      <c r="H19" s="15" t="str">
        <f t="shared" si="1"/>
        <v>C</v>
      </c>
    </row>
    <row r="20" spans="1:8" x14ac:dyDescent="0.35">
      <c r="A20" s="15">
        <v>1019</v>
      </c>
      <c r="B20" s="15" t="s">
        <v>24</v>
      </c>
      <c r="C20" s="15">
        <v>90</v>
      </c>
      <c r="D20" s="15">
        <v>78</v>
      </c>
      <c r="E20" s="15">
        <v>60</v>
      </c>
      <c r="F20" s="16">
        <v>45100</v>
      </c>
      <c r="G20" s="15">
        <f t="shared" si="0"/>
        <v>76</v>
      </c>
      <c r="H20" s="15" t="str">
        <f t="shared" si="1"/>
        <v>B</v>
      </c>
    </row>
    <row r="21" spans="1:8" x14ac:dyDescent="0.35">
      <c r="A21" s="15">
        <v>1020</v>
      </c>
      <c r="B21" s="15" t="s">
        <v>25</v>
      </c>
      <c r="C21" s="15">
        <v>83</v>
      </c>
      <c r="D21" s="15">
        <v>92</v>
      </c>
      <c r="E21" s="15">
        <v>55</v>
      </c>
      <c r="F21" s="16">
        <v>45116</v>
      </c>
      <c r="G21" s="15">
        <f t="shared" si="0"/>
        <v>76.666666666666671</v>
      </c>
      <c r="H21" s="15" t="str">
        <f t="shared" si="1"/>
        <v>B</v>
      </c>
    </row>
  </sheetData>
  <mergeCells count="1">
    <mergeCell ref="K12:Q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8F5D-0943-49E5-874A-E9625AB44620}">
  <dimension ref="A1:N21"/>
  <sheetViews>
    <sheetView workbookViewId="0">
      <selection activeCell="J6" sqref="J6"/>
    </sheetView>
  </sheetViews>
  <sheetFormatPr defaultRowHeight="14.5" x14ac:dyDescent="0.35"/>
  <cols>
    <col min="1" max="1" width="7.26953125" bestFit="1" customWidth="1"/>
    <col min="2" max="2" width="11.36328125" bestFit="1" customWidth="1"/>
    <col min="3" max="3" width="6.453125" bestFit="1" customWidth="1"/>
    <col min="4" max="4" width="12.453125" bestFit="1" customWidth="1"/>
    <col min="5" max="5" width="7.54296875" bestFit="1" customWidth="1"/>
    <col min="6" max="6" width="10.453125" style="3" bestFit="1" customWidth="1"/>
    <col min="9" max="9" width="8.26953125" bestFit="1" customWidth="1"/>
    <col min="10" max="10" width="6.26953125" bestFit="1" customWidth="1"/>
    <col min="14" max="14" width="4.36328125" customWidth="1"/>
  </cols>
  <sheetData>
    <row r="1" spans="1:14" ht="15.5" x14ac:dyDescent="0.3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7" t="s">
        <v>34</v>
      </c>
    </row>
    <row r="2" spans="1:14" x14ac:dyDescent="0.35">
      <c r="A2" s="1">
        <v>2001</v>
      </c>
      <c r="B2" s="1" t="s">
        <v>35</v>
      </c>
      <c r="C2" s="1" t="s">
        <v>36</v>
      </c>
      <c r="D2" s="1" t="s">
        <v>37</v>
      </c>
      <c r="E2" s="1">
        <v>55000</v>
      </c>
      <c r="F2" s="2">
        <v>45296</v>
      </c>
    </row>
    <row r="3" spans="1:14" x14ac:dyDescent="0.35">
      <c r="A3" s="1">
        <v>2002</v>
      </c>
      <c r="B3" s="1" t="s">
        <v>38</v>
      </c>
      <c r="C3" s="1" t="s">
        <v>39</v>
      </c>
      <c r="D3" s="1" t="s">
        <v>40</v>
      </c>
      <c r="E3" s="1">
        <v>22000</v>
      </c>
      <c r="F3" s="2">
        <v>45299</v>
      </c>
    </row>
    <row r="4" spans="1:14" x14ac:dyDescent="0.35">
      <c r="A4" s="1">
        <v>2003</v>
      </c>
      <c r="B4" s="1" t="s">
        <v>41</v>
      </c>
      <c r="C4" s="1" t="s">
        <v>42</v>
      </c>
      <c r="D4" s="1" t="s">
        <v>43</v>
      </c>
      <c r="E4" s="1">
        <v>18000</v>
      </c>
      <c r="F4" s="2">
        <v>45301</v>
      </c>
      <c r="I4" s="21" t="s">
        <v>58</v>
      </c>
      <c r="J4" s="21"/>
      <c r="K4" s="21"/>
      <c r="L4" s="21"/>
      <c r="M4" s="21"/>
      <c r="N4" s="21"/>
    </row>
    <row r="5" spans="1:14" ht="15.5" x14ac:dyDescent="0.35">
      <c r="A5" s="1">
        <v>2004</v>
      </c>
      <c r="B5" s="1" t="s">
        <v>44</v>
      </c>
      <c r="C5" s="1" t="s">
        <v>45</v>
      </c>
      <c r="D5" s="1" t="s">
        <v>46</v>
      </c>
      <c r="E5" s="1">
        <v>3000</v>
      </c>
      <c r="F5" s="2">
        <v>45303</v>
      </c>
      <c r="I5" s="10" t="s">
        <v>29</v>
      </c>
      <c r="J5" s="11">
        <v>2008</v>
      </c>
    </row>
    <row r="6" spans="1:14" ht="15.5" x14ac:dyDescent="0.35">
      <c r="A6" s="1">
        <v>2005</v>
      </c>
      <c r="B6" s="1" t="s">
        <v>47</v>
      </c>
      <c r="C6" s="1" t="s">
        <v>36</v>
      </c>
      <c r="D6" s="1" t="s">
        <v>48</v>
      </c>
      <c r="E6" s="1">
        <v>7000</v>
      </c>
      <c r="F6" s="2">
        <v>45306</v>
      </c>
      <c r="I6" s="8" t="s">
        <v>33</v>
      </c>
      <c r="J6" s="9">
        <f>VLOOKUP(J5,A1:F21,5,FALSE)</f>
        <v>20000</v>
      </c>
    </row>
    <row r="7" spans="1:14" x14ac:dyDescent="0.35">
      <c r="A7" s="1">
        <v>2006</v>
      </c>
      <c r="B7" s="1" t="s">
        <v>35</v>
      </c>
      <c r="C7" s="1" t="s">
        <v>39</v>
      </c>
      <c r="D7" s="1" t="s">
        <v>49</v>
      </c>
      <c r="E7" s="1">
        <v>60000</v>
      </c>
      <c r="F7" s="2">
        <v>45309</v>
      </c>
    </row>
    <row r="8" spans="1:14" x14ac:dyDescent="0.35">
      <c r="A8" s="1">
        <v>2007</v>
      </c>
      <c r="B8" s="1" t="s">
        <v>38</v>
      </c>
      <c r="C8" s="1" t="s">
        <v>42</v>
      </c>
      <c r="D8" s="1" t="s">
        <v>50</v>
      </c>
      <c r="E8" s="1">
        <v>25000</v>
      </c>
      <c r="F8" s="2">
        <v>45311</v>
      </c>
    </row>
    <row r="9" spans="1:14" x14ac:dyDescent="0.35">
      <c r="A9" s="1">
        <v>2008</v>
      </c>
      <c r="B9" s="1" t="s">
        <v>41</v>
      </c>
      <c r="C9" s="1" t="s">
        <v>45</v>
      </c>
      <c r="D9" s="1" t="s">
        <v>13</v>
      </c>
      <c r="E9" s="1">
        <v>20000</v>
      </c>
      <c r="F9" s="2">
        <v>45313</v>
      </c>
    </row>
    <row r="10" spans="1:14" x14ac:dyDescent="0.35">
      <c r="A10" s="1">
        <v>2009</v>
      </c>
      <c r="B10" s="1" t="s">
        <v>44</v>
      </c>
      <c r="C10" s="1" t="s">
        <v>36</v>
      </c>
      <c r="D10" s="1" t="s">
        <v>16</v>
      </c>
      <c r="E10" s="1">
        <v>3500</v>
      </c>
      <c r="F10" s="2">
        <v>45316</v>
      </c>
    </row>
    <row r="11" spans="1:14" x14ac:dyDescent="0.35">
      <c r="A11" s="1">
        <v>2010</v>
      </c>
      <c r="B11" s="1" t="s">
        <v>47</v>
      </c>
      <c r="C11" s="1" t="s">
        <v>39</v>
      </c>
      <c r="D11" s="1" t="s">
        <v>51</v>
      </c>
      <c r="E11" s="1">
        <v>8000</v>
      </c>
      <c r="F11" s="2">
        <v>45319</v>
      </c>
    </row>
    <row r="12" spans="1:14" x14ac:dyDescent="0.35">
      <c r="A12" s="1">
        <v>2011</v>
      </c>
      <c r="B12" s="1" t="s">
        <v>35</v>
      </c>
      <c r="C12" s="1" t="s">
        <v>42</v>
      </c>
      <c r="D12" s="1" t="s">
        <v>18</v>
      </c>
      <c r="E12" s="1">
        <v>58000</v>
      </c>
      <c r="F12" s="2">
        <v>45323</v>
      </c>
    </row>
    <row r="13" spans="1:14" x14ac:dyDescent="0.35">
      <c r="A13" s="1">
        <v>2012</v>
      </c>
      <c r="B13" s="1" t="s">
        <v>38</v>
      </c>
      <c r="C13" s="1" t="s">
        <v>45</v>
      </c>
      <c r="D13" s="1" t="s">
        <v>52</v>
      </c>
      <c r="E13" s="1">
        <v>23000</v>
      </c>
      <c r="F13" s="2">
        <v>45325</v>
      </c>
    </row>
    <row r="14" spans="1:14" x14ac:dyDescent="0.35">
      <c r="A14" s="1">
        <v>2013</v>
      </c>
      <c r="B14" s="1" t="s">
        <v>41</v>
      </c>
      <c r="C14" s="1" t="s">
        <v>36</v>
      </c>
      <c r="D14" s="1" t="s">
        <v>53</v>
      </c>
      <c r="E14" s="1">
        <v>19000</v>
      </c>
      <c r="F14" s="2">
        <v>45327</v>
      </c>
    </row>
    <row r="15" spans="1:14" x14ac:dyDescent="0.35">
      <c r="A15" s="1">
        <v>2014</v>
      </c>
      <c r="B15" s="1" t="s">
        <v>44</v>
      </c>
      <c r="C15" s="1" t="s">
        <v>39</v>
      </c>
      <c r="D15" s="1" t="s">
        <v>23</v>
      </c>
      <c r="E15" s="1">
        <v>3200</v>
      </c>
      <c r="F15" s="2">
        <v>45329</v>
      </c>
    </row>
    <row r="16" spans="1:14" x14ac:dyDescent="0.35">
      <c r="A16" s="1">
        <v>2015</v>
      </c>
      <c r="B16" s="1" t="s">
        <v>47</v>
      </c>
      <c r="C16" s="1" t="s">
        <v>42</v>
      </c>
      <c r="D16" s="1" t="s">
        <v>54</v>
      </c>
      <c r="E16" s="1">
        <v>7500</v>
      </c>
      <c r="F16" s="2">
        <v>45332</v>
      </c>
    </row>
    <row r="17" spans="1:6" x14ac:dyDescent="0.35">
      <c r="A17" s="1">
        <v>2016</v>
      </c>
      <c r="B17" s="1" t="s">
        <v>35</v>
      </c>
      <c r="C17" s="1" t="s">
        <v>45</v>
      </c>
      <c r="D17" s="1" t="s">
        <v>55</v>
      </c>
      <c r="E17" s="1">
        <v>62000</v>
      </c>
      <c r="F17" s="2">
        <v>45334</v>
      </c>
    </row>
    <row r="18" spans="1:6" x14ac:dyDescent="0.35">
      <c r="A18" s="1">
        <v>2017</v>
      </c>
      <c r="B18" s="1" t="s">
        <v>38</v>
      </c>
      <c r="C18" s="1" t="s">
        <v>36</v>
      </c>
      <c r="D18" s="1" t="s">
        <v>25</v>
      </c>
      <c r="E18" s="1">
        <v>24000</v>
      </c>
      <c r="F18" s="2">
        <v>45337</v>
      </c>
    </row>
    <row r="19" spans="1:6" x14ac:dyDescent="0.35">
      <c r="A19" s="1">
        <v>2018</v>
      </c>
      <c r="B19" s="1" t="s">
        <v>41</v>
      </c>
      <c r="C19" s="1" t="s">
        <v>39</v>
      </c>
      <c r="D19" s="1" t="s">
        <v>56</v>
      </c>
      <c r="E19" s="1">
        <v>21000</v>
      </c>
      <c r="F19" s="2">
        <v>45340</v>
      </c>
    </row>
    <row r="20" spans="1:6" x14ac:dyDescent="0.35">
      <c r="A20" s="1">
        <v>2019</v>
      </c>
      <c r="B20" s="1" t="s">
        <v>44</v>
      </c>
      <c r="C20" s="1" t="s">
        <v>42</v>
      </c>
      <c r="D20" s="1" t="s">
        <v>57</v>
      </c>
      <c r="E20" s="1">
        <v>4000</v>
      </c>
      <c r="F20" s="2">
        <v>45342</v>
      </c>
    </row>
    <row r="21" spans="1:6" x14ac:dyDescent="0.35">
      <c r="A21" s="1">
        <v>2020</v>
      </c>
      <c r="B21" s="1" t="s">
        <v>47</v>
      </c>
      <c r="C21" s="1" t="s">
        <v>45</v>
      </c>
      <c r="D21" s="1" t="s">
        <v>10</v>
      </c>
      <c r="E21" s="1">
        <v>7800</v>
      </c>
      <c r="F21" s="2">
        <v>45344</v>
      </c>
    </row>
  </sheetData>
  <mergeCells count="1">
    <mergeCell ref="I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D015-A8B8-4B96-9F00-276A91BE72B7}">
  <dimension ref="A1:L21"/>
  <sheetViews>
    <sheetView tabSelected="1" workbookViewId="0">
      <selection activeCell="K22" sqref="K22"/>
    </sheetView>
  </sheetViews>
  <sheetFormatPr defaultRowHeight="14.5" x14ac:dyDescent="0.35"/>
  <cols>
    <col min="1" max="1" width="12.1796875" bestFit="1" customWidth="1"/>
    <col min="2" max="2" width="12.453125" bestFit="1" customWidth="1"/>
    <col min="3" max="3" width="11.90625" bestFit="1" customWidth="1"/>
    <col min="4" max="4" width="6.36328125" bestFit="1" customWidth="1"/>
    <col min="5" max="5" width="11.90625" bestFit="1" customWidth="1"/>
    <col min="12" max="12" width="3.6328125" customWidth="1"/>
  </cols>
  <sheetData>
    <row r="1" spans="1:12" ht="15.5" x14ac:dyDescent="0.35">
      <c r="A1" s="5" t="s">
        <v>59</v>
      </c>
      <c r="B1" s="5" t="s">
        <v>1</v>
      </c>
      <c r="C1" s="5" t="s">
        <v>60</v>
      </c>
      <c r="D1" s="5" t="s">
        <v>61</v>
      </c>
      <c r="E1" s="17" t="s">
        <v>62</v>
      </c>
      <c r="F1" s="5" t="s">
        <v>69</v>
      </c>
    </row>
    <row r="2" spans="1:12" x14ac:dyDescent="0.35">
      <c r="A2" s="1">
        <v>3001</v>
      </c>
      <c r="B2" s="1" t="s">
        <v>37</v>
      </c>
      <c r="C2" s="1" t="s">
        <v>63</v>
      </c>
      <c r="D2" s="1">
        <v>55000</v>
      </c>
      <c r="E2" s="2">
        <v>44571</v>
      </c>
      <c r="F2" s="1">
        <f>YEAR(E2)</f>
        <v>2022</v>
      </c>
    </row>
    <row r="3" spans="1:12" x14ac:dyDescent="0.35">
      <c r="A3" s="1">
        <v>3002</v>
      </c>
      <c r="B3" s="1" t="s">
        <v>40</v>
      </c>
      <c r="C3" s="1" t="s">
        <v>64</v>
      </c>
      <c r="D3" s="1">
        <v>42000</v>
      </c>
      <c r="E3" s="2">
        <v>44515</v>
      </c>
      <c r="F3" s="1">
        <f t="shared" ref="F3:F21" si="0">YEAR(E3)</f>
        <v>2021</v>
      </c>
    </row>
    <row r="4" spans="1:12" x14ac:dyDescent="0.35">
      <c r="A4" s="1">
        <v>3003</v>
      </c>
      <c r="B4" s="1" t="s">
        <v>43</v>
      </c>
      <c r="C4" s="1" t="s">
        <v>65</v>
      </c>
      <c r="D4" s="1">
        <v>60000</v>
      </c>
      <c r="E4" s="2">
        <v>44962</v>
      </c>
      <c r="F4" s="1">
        <f t="shared" si="0"/>
        <v>2023</v>
      </c>
      <c r="G4" s="24" t="s">
        <v>68</v>
      </c>
      <c r="H4" s="20"/>
      <c r="I4" s="20"/>
      <c r="J4" s="20"/>
      <c r="K4" s="20"/>
      <c r="L4" s="20"/>
    </row>
    <row r="5" spans="1:12" ht="15.5" x14ac:dyDescent="0.35">
      <c r="A5" s="1">
        <v>3004</v>
      </c>
      <c r="B5" s="1" t="s">
        <v>46</v>
      </c>
      <c r="C5" s="1" t="s">
        <v>66</v>
      </c>
      <c r="D5" s="1">
        <v>48000</v>
      </c>
      <c r="E5" s="2">
        <v>44732</v>
      </c>
      <c r="F5" s="1">
        <f t="shared" si="0"/>
        <v>2022</v>
      </c>
      <c r="G5" s="22" t="s">
        <v>67</v>
      </c>
      <c r="H5" s="19">
        <v>3009</v>
      </c>
    </row>
    <row r="6" spans="1:12" ht="15.5" x14ac:dyDescent="0.35">
      <c r="A6" s="1">
        <v>3005</v>
      </c>
      <c r="B6" s="1" t="s">
        <v>48</v>
      </c>
      <c r="C6" s="1" t="s">
        <v>63</v>
      </c>
      <c r="D6" s="1">
        <v>53000</v>
      </c>
      <c r="E6" s="2">
        <v>44451</v>
      </c>
      <c r="F6" s="1">
        <f t="shared" si="0"/>
        <v>2021</v>
      </c>
      <c r="G6" s="23" t="s">
        <v>61</v>
      </c>
      <c r="H6" s="18">
        <f>_xlfn.XLOOKUP(H5,A2:A21,D2:D21,"enter emp id iccorect",0)</f>
        <v>51000</v>
      </c>
    </row>
    <row r="7" spans="1:12" x14ac:dyDescent="0.35">
      <c r="A7" s="1">
        <v>3006</v>
      </c>
      <c r="B7" s="1" t="s">
        <v>49</v>
      </c>
      <c r="C7" s="1" t="s">
        <v>64</v>
      </c>
      <c r="D7" s="1">
        <v>45000</v>
      </c>
      <c r="E7" s="2">
        <v>44638</v>
      </c>
      <c r="F7" s="1">
        <f t="shared" si="0"/>
        <v>2022</v>
      </c>
    </row>
    <row r="8" spans="1:12" x14ac:dyDescent="0.35">
      <c r="A8" s="1">
        <v>3007</v>
      </c>
      <c r="B8" s="1" t="s">
        <v>50</v>
      </c>
      <c r="C8" s="1" t="s">
        <v>65</v>
      </c>
      <c r="D8" s="1">
        <v>62000</v>
      </c>
      <c r="E8" s="2">
        <v>44951</v>
      </c>
      <c r="F8" s="1">
        <f t="shared" si="0"/>
        <v>2023</v>
      </c>
    </row>
    <row r="9" spans="1:12" x14ac:dyDescent="0.35">
      <c r="A9" s="1">
        <v>3008</v>
      </c>
      <c r="B9" s="1" t="s">
        <v>13</v>
      </c>
      <c r="C9" s="1" t="s">
        <v>66</v>
      </c>
      <c r="D9" s="1">
        <v>47000</v>
      </c>
      <c r="E9" s="2">
        <v>44772</v>
      </c>
      <c r="F9" s="1">
        <f t="shared" si="0"/>
        <v>2022</v>
      </c>
    </row>
    <row r="10" spans="1:12" x14ac:dyDescent="0.35">
      <c r="A10" s="1">
        <v>3009</v>
      </c>
      <c r="B10" s="1" t="s">
        <v>16</v>
      </c>
      <c r="C10" s="1" t="s">
        <v>63</v>
      </c>
      <c r="D10" s="1">
        <v>51000</v>
      </c>
      <c r="E10" s="2">
        <v>44540</v>
      </c>
      <c r="F10" s="1">
        <f t="shared" si="0"/>
        <v>2021</v>
      </c>
    </row>
    <row r="11" spans="1:12" x14ac:dyDescent="0.35">
      <c r="A11" s="1">
        <v>3010</v>
      </c>
      <c r="B11" s="1" t="s">
        <v>51</v>
      </c>
      <c r="C11" s="1" t="s">
        <v>64</v>
      </c>
      <c r="D11" s="1">
        <v>43000</v>
      </c>
      <c r="E11" s="2">
        <v>44703</v>
      </c>
      <c r="F11" s="1">
        <f t="shared" si="0"/>
        <v>2022</v>
      </c>
    </row>
    <row r="12" spans="1:12" x14ac:dyDescent="0.35">
      <c r="A12" s="1">
        <v>3011</v>
      </c>
      <c r="B12" s="1" t="s">
        <v>18</v>
      </c>
      <c r="C12" s="1" t="s">
        <v>65</v>
      </c>
      <c r="D12" s="1">
        <v>64000</v>
      </c>
      <c r="E12" s="2">
        <v>44997</v>
      </c>
      <c r="F12" s="1">
        <f t="shared" si="0"/>
        <v>2023</v>
      </c>
    </row>
    <row r="13" spans="1:12" x14ac:dyDescent="0.35">
      <c r="A13" s="1">
        <v>3012</v>
      </c>
      <c r="B13" s="1" t="s">
        <v>52</v>
      </c>
      <c r="C13" s="1" t="s">
        <v>66</v>
      </c>
      <c r="D13" s="1">
        <v>49000</v>
      </c>
      <c r="E13" s="2">
        <v>44787</v>
      </c>
      <c r="F13" s="1">
        <f t="shared" si="0"/>
        <v>2022</v>
      </c>
    </row>
    <row r="14" spans="1:12" x14ac:dyDescent="0.35">
      <c r="A14" s="1">
        <v>3013</v>
      </c>
      <c r="B14" s="1" t="s">
        <v>53</v>
      </c>
      <c r="C14" s="1" t="s">
        <v>63</v>
      </c>
      <c r="D14" s="1">
        <v>56000</v>
      </c>
      <c r="E14" s="2">
        <v>44474</v>
      </c>
      <c r="F14" s="1">
        <f t="shared" si="0"/>
        <v>2021</v>
      </c>
    </row>
    <row r="15" spans="1:12" x14ac:dyDescent="0.35">
      <c r="A15" s="1">
        <v>3014</v>
      </c>
      <c r="B15" s="1" t="s">
        <v>23</v>
      </c>
      <c r="C15" s="1" t="s">
        <v>64</v>
      </c>
      <c r="D15" s="1">
        <v>44000</v>
      </c>
      <c r="E15" s="2">
        <v>44679</v>
      </c>
      <c r="F15" s="1">
        <f t="shared" si="0"/>
        <v>2022</v>
      </c>
    </row>
    <row r="16" spans="1:12" x14ac:dyDescent="0.35">
      <c r="A16" s="1">
        <v>3015</v>
      </c>
      <c r="B16" s="1" t="s">
        <v>54</v>
      </c>
      <c r="C16" s="1" t="s">
        <v>65</v>
      </c>
      <c r="D16" s="1">
        <v>61000</v>
      </c>
      <c r="E16" s="2">
        <v>44977</v>
      </c>
      <c r="F16" s="1">
        <f t="shared" si="0"/>
        <v>2023</v>
      </c>
    </row>
    <row r="17" spans="1:6" x14ac:dyDescent="0.35">
      <c r="A17" s="1">
        <v>3016</v>
      </c>
      <c r="B17" s="1" t="s">
        <v>55</v>
      </c>
      <c r="C17" s="1" t="s">
        <v>66</v>
      </c>
      <c r="D17" s="1">
        <v>50000</v>
      </c>
      <c r="E17" s="2">
        <v>44814</v>
      </c>
      <c r="F17" s="1">
        <f t="shared" si="0"/>
        <v>2022</v>
      </c>
    </row>
    <row r="18" spans="1:6" x14ac:dyDescent="0.35">
      <c r="A18" s="1">
        <v>3017</v>
      </c>
      <c r="B18" s="1" t="s">
        <v>25</v>
      </c>
      <c r="C18" s="1" t="s">
        <v>63</v>
      </c>
      <c r="D18" s="1">
        <v>52000</v>
      </c>
      <c r="E18" s="2">
        <v>44426</v>
      </c>
      <c r="F18" s="1">
        <f t="shared" si="0"/>
        <v>2021</v>
      </c>
    </row>
    <row r="19" spans="1:6" x14ac:dyDescent="0.35">
      <c r="A19" s="1">
        <v>3018</v>
      </c>
      <c r="B19" s="1" t="s">
        <v>56</v>
      </c>
      <c r="C19" s="1" t="s">
        <v>64</v>
      </c>
      <c r="D19" s="1">
        <v>46000</v>
      </c>
      <c r="E19" s="2">
        <v>44717</v>
      </c>
      <c r="F19" s="1">
        <f t="shared" si="0"/>
        <v>2022</v>
      </c>
    </row>
    <row r="20" spans="1:6" x14ac:dyDescent="0.35">
      <c r="A20" s="1">
        <v>3019</v>
      </c>
      <c r="B20" s="1" t="s">
        <v>57</v>
      </c>
      <c r="C20" s="1" t="s">
        <v>65</v>
      </c>
      <c r="D20" s="1">
        <v>63000</v>
      </c>
      <c r="E20" s="2">
        <v>44934</v>
      </c>
      <c r="F20" s="1">
        <f t="shared" si="0"/>
        <v>2023</v>
      </c>
    </row>
    <row r="21" spans="1:6" x14ac:dyDescent="0.35">
      <c r="A21" s="1">
        <v>3020</v>
      </c>
      <c r="B21" s="1" t="s">
        <v>10</v>
      </c>
      <c r="C21" s="1" t="s">
        <v>66</v>
      </c>
      <c r="D21" s="1">
        <v>48000</v>
      </c>
      <c r="E21" s="2">
        <v>44859</v>
      </c>
      <c r="F21" s="1">
        <f t="shared" si="0"/>
        <v>2022</v>
      </c>
    </row>
  </sheetData>
  <mergeCells count="1">
    <mergeCell ref="G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Sales_data</vt:lpstr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Maulik Baldaniya</dc:creator>
  <cp:lastModifiedBy>Maulik Baldaniya</cp:lastModifiedBy>
  <dcterms:created xsi:type="dcterms:W3CDTF">2026-05-05T14:00:22Z</dcterms:created>
  <dcterms:modified xsi:type="dcterms:W3CDTF">2026-05-06T10:00:23Z</dcterms:modified>
</cp:coreProperties>
</file>